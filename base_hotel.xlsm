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ourp\Desktop\"/>
    </mc:Choice>
  </mc:AlternateContent>
  <xr:revisionPtr revIDLastSave="0" documentId="13_ncr:1_{BD1C06A8-0F3E-4EE8-8849-D8063A23FC33}" xr6:coauthVersionLast="36" xr6:coauthVersionMax="36" xr10:uidLastSave="{00000000-0000-0000-0000-000000000000}"/>
  <bookViews>
    <workbookView xWindow="0" yWindow="0" windowWidth="9075" windowHeight="7395" firstSheet="1" activeTab="4" xr2:uid="{00000000-000D-0000-FFFF-FFFF00000000}"/>
  </bookViews>
  <sheets>
    <sheet name="Feuil3" sheetId="4" state="hidden" r:id="rId1"/>
    <sheet name="Page d'accueil" sheetId="6" r:id="rId2"/>
    <sheet name="Base" sheetId="1" r:id="rId3"/>
    <sheet name="Formule" sheetId="2" r:id="rId4"/>
    <sheet name="Graphiques" sheetId="3" r:id="rId5"/>
  </sheets>
  <calcPr calcId="191029"/>
  <pivotCaches>
    <pivotCache cacheId="8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" l="1"/>
</calcChain>
</file>

<file path=xl/sharedStrings.xml><?xml version="1.0" encoding="utf-8"?>
<sst xmlns="http://schemas.openxmlformats.org/spreadsheetml/2006/main" count="85" uniqueCount="51">
  <si>
    <t>Bennani Ahmed</t>
  </si>
  <si>
    <t>El Yousfi Fatima</t>
  </si>
  <si>
    <t>En attente</t>
  </si>
  <si>
    <t>Fikri Mohamed</t>
  </si>
  <si>
    <t>Moujahid Karim</t>
  </si>
  <si>
    <t>R1283</t>
  </si>
  <si>
    <t>Simple</t>
  </si>
  <si>
    <t>Confirmée</t>
  </si>
  <si>
    <t>D4578</t>
  </si>
  <si>
    <t>Double</t>
  </si>
  <si>
    <t>Suite</t>
  </si>
  <si>
    <t>C5647</t>
  </si>
  <si>
    <t>Annulée</t>
  </si>
  <si>
    <t>L2390</t>
  </si>
  <si>
    <t>Code réservation</t>
  </si>
  <si>
    <t>Statut réservation</t>
  </si>
  <si>
    <t>Nom client</t>
  </si>
  <si>
    <t>Date arrivée</t>
  </si>
  <si>
    <t>Type chambre</t>
  </si>
  <si>
    <t>Nombre nuits</t>
  </si>
  <si>
    <t>Montant total</t>
  </si>
  <si>
    <t>Code de la réservation</t>
  </si>
  <si>
    <t>Nom du client</t>
  </si>
  <si>
    <t>Date d'arrivée</t>
  </si>
  <si>
    <t>Type de chambre</t>
  </si>
  <si>
    <t>Nombre de nuits</t>
  </si>
  <si>
    <t>Statut de la réservation</t>
  </si>
  <si>
    <t>C8542</t>
  </si>
  <si>
    <t>Oussama</t>
  </si>
  <si>
    <t>D4852</t>
  </si>
  <si>
    <t>SDQDQ</t>
  </si>
  <si>
    <t>Boutons Pour Filtrage</t>
  </si>
  <si>
    <t>Status</t>
  </si>
  <si>
    <t>Recherche</t>
  </si>
  <si>
    <t>A8745</t>
  </si>
  <si>
    <t>qsdsqdqs</t>
  </si>
  <si>
    <t xml:space="preserve"> Boutons Pour Trier et Supprimer</t>
  </si>
  <si>
    <t>Étiquettes de lignes</t>
  </si>
  <si>
    <t>Total général</t>
  </si>
  <si>
    <t>Somme de Montant total</t>
  </si>
  <si>
    <t>Nombre de Code réservation</t>
  </si>
  <si>
    <t>J5487</t>
  </si>
  <si>
    <t>jamila</t>
  </si>
  <si>
    <t>Gestion des Réservations d'Hôtel</t>
  </si>
  <si>
    <t>Menu</t>
  </si>
  <si>
    <t>Liste des Réservations - Recherche &amp; Gestion</t>
  </si>
  <si>
    <t>Nouvelle Réservation - Saisie et Validation</t>
  </si>
  <si>
    <t>Analyse des Réservations</t>
  </si>
  <si>
    <r>
      <rPr>
        <b/>
        <i/>
        <sz val="14"/>
        <color theme="0"/>
        <rFont val="Calibri"/>
        <family val="2"/>
        <scheme val="minor"/>
      </rPr>
      <t>Actualiser les graphiques :</t>
    </r>
    <r>
      <rPr>
        <sz val="14"/>
        <color theme="0"/>
        <rFont val="Calibri"/>
        <family val="2"/>
        <scheme val="minor"/>
      </rPr>
      <t xml:space="preserve">  </t>
    </r>
  </si>
  <si>
    <t>A4567</t>
  </si>
  <si>
    <t xml:space="preserve">Ahmed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</si>
</sst>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\ [$€-1]"/>
    <numFmt numFmtId="165" formatCode="[$MAD]\ #,##0.0"/>
    <numFmt numFmtId="166" formatCode="[$MAD]\ #,##0.00"/>
  </numFmts>
  <fonts count="28" x14ac:knownFonts="1">
    <font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i/>
      <sz val="16"/>
      <color theme="1"/>
      <name val="Arial"/>
      <family val="2"/>
    </font>
    <font>
      <i/>
      <sz val="16"/>
      <color theme="0"/>
      <name val="Arial"/>
      <family val="2"/>
    </font>
    <font>
      <b/>
      <i/>
      <sz val="14"/>
      <color theme="0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b/>
      <i/>
      <sz val="14"/>
      <color theme="0"/>
      <name val="Bahnschrift Light SemiCondensed"/>
      <family val="2"/>
    </font>
    <font>
      <b/>
      <i/>
      <sz val="11"/>
      <color theme="0"/>
      <name val="Bahnschrift Light SemiCondensed"/>
      <family val="2"/>
    </font>
    <font>
      <b/>
      <i/>
      <sz val="16"/>
      <color theme="0"/>
      <name val="Arial"/>
      <family val="2"/>
    </font>
    <font>
      <b/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2"/>
      <color rgb="FF000000"/>
      <name val="Agency FB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20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3" fontId="0" fillId="0" borderId="1" xfId="0" applyNumberFormat="1" applyBorder="1" applyAlignment="1">
      <alignment vertical="center"/>
    </xf>
    <xf numFmtId="0" fontId="0" fillId="0" borderId="0" xfId="0"/>
    <xf numFmtId="0" fontId="0" fillId="3" borderId="0" xfId="0" applyFill="1"/>
    <xf numFmtId="0" fontId="1" fillId="4" borderId="3" xfId="0" applyFont="1" applyFill="1" applyBorder="1" applyAlignment="1">
      <alignment horizontal="center" vertical="center"/>
    </xf>
    <xf numFmtId="164" fontId="2" fillId="5" borderId="2" xfId="0" applyNumberFormat="1" applyFont="1" applyFill="1" applyBorder="1" applyAlignment="1">
      <alignment horizontal="center" vertical="center"/>
    </xf>
    <xf numFmtId="14" fontId="2" fillId="5" borderId="2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5" fillId="6" borderId="0" xfId="0" applyFont="1" applyFill="1"/>
    <xf numFmtId="0" fontId="2" fillId="5" borderId="2" xfId="0" applyNumberFormat="1" applyFont="1" applyFill="1" applyBorder="1" applyAlignment="1">
      <alignment horizontal="center" vertical="center"/>
    </xf>
    <xf numFmtId="165" fontId="2" fillId="5" borderId="2" xfId="0" applyNumberFormat="1" applyFont="1" applyFill="1" applyBorder="1" applyAlignment="1">
      <alignment horizontal="center" vertical="center"/>
    </xf>
    <xf numFmtId="14" fontId="4" fillId="5" borderId="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0" fillId="0" borderId="11" xfId="0" applyBorder="1" applyAlignment="1">
      <alignment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7" fillId="7" borderId="0" xfId="0" applyFont="1" applyFill="1"/>
    <xf numFmtId="0" fontId="0" fillId="9" borderId="0" xfId="0" applyFill="1"/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6" fontId="0" fillId="0" borderId="0" xfId="0" applyNumberFormat="1"/>
    <xf numFmtId="0" fontId="12" fillId="6" borderId="0" xfId="0" applyFont="1" applyFill="1"/>
    <xf numFmtId="0" fontId="9" fillId="9" borderId="1" xfId="0" applyFont="1" applyFill="1" applyBorder="1" applyAlignment="1">
      <alignment horizontal="center" vertical="center"/>
    </xf>
    <xf numFmtId="0" fontId="10" fillId="9" borderId="1" xfId="0" applyFont="1" applyFill="1" applyBorder="1"/>
    <xf numFmtId="14" fontId="10" fillId="9" borderId="1" xfId="0" applyNumberFormat="1" applyFont="1" applyFill="1" applyBorder="1"/>
    <xf numFmtId="0" fontId="10" fillId="9" borderId="1" xfId="0" applyNumberFormat="1" applyFont="1" applyFill="1" applyBorder="1"/>
    <xf numFmtId="0" fontId="0" fillId="6" borderId="0" xfId="0" applyFill="1"/>
    <xf numFmtId="0" fontId="0" fillId="10" borderId="0" xfId="0" applyFill="1"/>
    <xf numFmtId="0" fontId="13" fillId="10" borderId="0" xfId="0" applyFont="1" applyFill="1" applyAlignment="1"/>
    <xf numFmtId="0" fontId="27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26" fillId="12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/>
    </xf>
    <xf numFmtId="0" fontId="25" fillId="13" borderId="0" xfId="0" applyFont="1" applyFill="1" applyAlignment="1">
      <alignment horizontal="center"/>
    </xf>
    <xf numFmtId="0" fontId="11" fillId="12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4" fillId="12" borderId="0" xfId="0" applyFont="1" applyFill="1" applyAlignment="1">
      <alignment horizontal="center"/>
    </xf>
    <xf numFmtId="0" fontId="16" fillId="12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7CE"/>
        </patternFill>
      </fill>
    </dxf>
    <dxf>
      <numFmt numFmtId="0" formatCode="General"/>
    </dxf>
    <dxf>
      <numFmt numFmtId="166" formatCode="[$MAD]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[base_hotel.xlsm]Feuil3!Tableau croisé dynamique1</c:name>
    <c:fmtId val="0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ysClr val="windowText" lastClr="000000">
                <a:lumMod val="65000"/>
                <a:lumOff val="35000"/>
                <a:alpha val="75000"/>
              </a:sys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897269760508458E-2"/>
          <c:y val="4.653867675517688E-2"/>
          <c:w val="0.92620546047898311"/>
          <c:h val="0.8408457873153156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Feuil3!$B$3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solidFill>
                <a:sysClr val="windowText" lastClr="000000">
                  <a:lumMod val="65000"/>
                  <a:lumOff val="35000"/>
                  <a:alpha val="75000"/>
                </a:sys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Feuil3!$A$4:$A$7</c:f>
              <c:strCache>
                <c:ptCount val="3"/>
                <c:pt idx="0">
                  <c:v>Double</c:v>
                </c:pt>
                <c:pt idx="1">
                  <c:v>Simple</c:v>
                </c:pt>
                <c:pt idx="2">
                  <c:v>Suite</c:v>
                </c:pt>
              </c:strCache>
            </c:strRef>
          </c:cat>
          <c:val>
            <c:numRef>
              <c:f>Feuil3!$B$4:$B$7</c:f>
              <c:numCache>
                <c:formatCode>[$MAD]\ #,##0.00</c:formatCode>
                <c:ptCount val="3"/>
                <c:pt idx="0">
                  <c:v>14000</c:v>
                </c:pt>
                <c:pt idx="1">
                  <c:v>5400</c:v>
                </c:pt>
                <c:pt idx="2">
                  <c:v>15600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A-459A-9CA6-33D3110CF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088359456"/>
        <c:axId val="374038896"/>
        <c:axId val="0"/>
      </c:bar3DChart>
      <c:catAx>
        <c:axId val="208835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38896"/>
        <c:crosses val="autoZero"/>
        <c:auto val="1"/>
        <c:lblAlgn val="ctr"/>
        <c:lblOffset val="100"/>
        <c:noMultiLvlLbl val="0"/>
      </c:catAx>
      <c:valAx>
        <c:axId val="3740388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MAD]\ #,##0.00" sourceLinked="1"/>
        <c:majorTickMark val="none"/>
        <c:minorTickMark val="none"/>
        <c:tickLblPos val="nextTo"/>
        <c:crossAx val="208835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[base_hotel.xlsm]Feuil3!Tableau croisé dynamique2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Feuil3!$B$9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B60-48BA-A8D2-D2AC5AD7FA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B60-48BA-A8D2-D2AC5AD7FA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B60-48BA-A8D2-D2AC5AD7FAC7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Feuil3!$A$10:$A$13</c:f>
              <c:strCache>
                <c:ptCount val="3"/>
                <c:pt idx="0">
                  <c:v>Annulée</c:v>
                </c:pt>
                <c:pt idx="1">
                  <c:v>Confirmée</c:v>
                </c:pt>
                <c:pt idx="2">
                  <c:v>En attente</c:v>
                </c:pt>
              </c:strCache>
            </c:strRef>
          </c:cat>
          <c:val>
            <c:numRef>
              <c:f>Feuil3!$B$10:$B$13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1-47CC-A9A0-9CA465F7AE6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[base_hotel.xlsm]Feuil3!Tableau croisé dynamique2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1" u="none" strike="noStrike" baseline="0">
                <a:solidFill>
                  <a:srgbClr val="00B0F0"/>
                </a:solidFill>
              </a:rPr>
              <a:t>Distribution du nombre de réservations par statut</a:t>
            </a:r>
            <a:endParaRPr lang="en-US" sz="1400" b="0">
              <a:solidFill>
                <a:srgbClr val="00B0F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Feuil3!$B$9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11BA-4D08-8E9D-13E2477C63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11BA-4D08-8E9D-13E2477C63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11BA-4D08-8E9D-13E2477C63D0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Feuil3!$A$10:$A$13</c:f>
              <c:strCache>
                <c:ptCount val="3"/>
                <c:pt idx="0">
                  <c:v>Annulée</c:v>
                </c:pt>
                <c:pt idx="1">
                  <c:v>Confirmée</c:v>
                </c:pt>
                <c:pt idx="2">
                  <c:v>En attente</c:v>
                </c:pt>
              </c:strCache>
            </c:strRef>
          </c:cat>
          <c:val>
            <c:numRef>
              <c:f>Feuil3!$B$10:$B$13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BA-4D08-8E9D-13E2477C63D0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[base_hotel.xlsm]Feuil3!Tableau croisé dynamique1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1" u="none" strike="noStrike" baseline="0">
                <a:solidFill>
                  <a:srgbClr val="00B0F0"/>
                </a:solidFill>
              </a:rPr>
              <a:t>Montant total des réservations par type de chambre</a:t>
            </a:r>
            <a:endParaRPr lang="en-US" sz="1400" b="0">
              <a:solidFill>
                <a:srgbClr val="00B0F0"/>
              </a:solidFill>
            </a:endParaRPr>
          </a:p>
        </c:rich>
      </c:tx>
      <c:layout>
        <c:manualLayout>
          <c:xMode val="edge"/>
          <c:yMode val="edge"/>
          <c:x val="0.23940464657328164"/>
          <c:y val="4.653867675517687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ysClr val="windowText" lastClr="000000">
                <a:lumMod val="65000"/>
                <a:lumOff val="35000"/>
                <a:alpha val="75000"/>
              </a:sys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ysClr val="windowText" lastClr="000000">
                <a:lumMod val="65000"/>
                <a:lumOff val="35000"/>
                <a:alpha val="75000"/>
              </a:sys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ysClr val="windowText" lastClr="000000">
                <a:lumMod val="65000"/>
                <a:lumOff val="35000"/>
                <a:alpha val="75000"/>
              </a:sys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0" tIns="0" rIns="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897233999596206E-2"/>
          <c:y val="7.7986661503377658E-2"/>
          <c:w val="0.92620546047898311"/>
          <c:h val="0.8408457873153156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Feuil3!$B$3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solidFill>
                <a:sysClr val="windowText" lastClr="000000">
                  <a:lumMod val="65000"/>
                  <a:lumOff val="35000"/>
                  <a:alpha val="75000"/>
                </a:sys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Feuil3!$A$4:$A$7</c:f>
              <c:strCache>
                <c:ptCount val="3"/>
                <c:pt idx="0">
                  <c:v>Double</c:v>
                </c:pt>
                <c:pt idx="1">
                  <c:v>Simple</c:v>
                </c:pt>
                <c:pt idx="2">
                  <c:v>Suite</c:v>
                </c:pt>
              </c:strCache>
            </c:strRef>
          </c:cat>
          <c:val>
            <c:numRef>
              <c:f>Feuil3!$B$4:$B$7</c:f>
              <c:numCache>
                <c:formatCode>[$MAD]\ #,##0.00</c:formatCode>
                <c:ptCount val="3"/>
                <c:pt idx="0">
                  <c:v>14000</c:v>
                </c:pt>
                <c:pt idx="1">
                  <c:v>5400</c:v>
                </c:pt>
                <c:pt idx="2">
                  <c:v>15600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7-4E05-93DD-CC0FF976E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088359456"/>
        <c:axId val="374038896"/>
        <c:axId val="0"/>
      </c:bar3DChart>
      <c:catAx>
        <c:axId val="208835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38896"/>
        <c:crosses val="autoZero"/>
        <c:auto val="1"/>
        <c:lblAlgn val="ctr"/>
        <c:lblOffset val="100"/>
        <c:noMultiLvlLbl val="0"/>
      </c:catAx>
      <c:valAx>
        <c:axId val="3740388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MAD]\ #,##0.00" sourceLinked="1"/>
        <c:majorTickMark val="none"/>
        <c:minorTickMark val="none"/>
        <c:tickLblPos val="nextTo"/>
        <c:crossAx val="208835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Base!A1"/><Relationship Id="rId1" Type="http://schemas.openxmlformats.org/officeDocument/2006/relationships/hyperlink" Target="#Formule!A1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image" Target="../media/image1.png"/><Relationship Id="rId1" Type="http://schemas.openxmlformats.org/officeDocument/2006/relationships/hyperlink" Target="#Formule!A1"/><Relationship Id="rId6" Type="http://schemas.openxmlformats.org/officeDocument/2006/relationships/image" Target="../media/image5.png"/><Relationship Id="rId5" Type="http://schemas.openxmlformats.org/officeDocument/2006/relationships/hyperlink" Target="#'Page d''accueil'!A1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image" Target="../media/image6.png"/><Relationship Id="rId1" Type="http://schemas.openxmlformats.org/officeDocument/2006/relationships/hyperlink" Target="#Base!A1"/><Relationship Id="rId6" Type="http://schemas.openxmlformats.org/officeDocument/2006/relationships/image" Target="../media/image8.png"/><Relationship Id="rId5" Type="http://schemas.openxmlformats.org/officeDocument/2006/relationships/hyperlink" Target="#'Page d''accueil'!A1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Formule!A1"/><Relationship Id="rId7" Type="http://schemas.openxmlformats.org/officeDocument/2006/relationships/hyperlink" Target="#'Page d''accueil'!A1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9.png"/><Relationship Id="rId5" Type="http://schemas.openxmlformats.org/officeDocument/2006/relationships/hyperlink" Target="#Base!A1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747712</xdr:colOff>
      <xdr:row>9</xdr:row>
      <xdr:rowOff>133350</xdr:rowOff>
    </xdr:from>
    <xdr:to>
      <xdr:col>13</xdr:col>
      <xdr:colOff>723900</xdr:colOff>
      <xdr:row>24</xdr:row>
      <xdr:rowOff>4763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685806</xdr:colOff>
      <xdr:row>9</xdr:row>
      <xdr:rowOff>90487</xdr:rowOff>
    </xdr:from>
    <xdr:to>
      <xdr:col>8</xdr:col>
      <xdr:colOff>685806</xdr:colOff>
      <xdr:row>23</xdr:row>
      <xdr:rowOff>166687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2</xdr:row>
      <xdr:rowOff>171449</xdr:rowOff>
    </xdr:from>
    <xdr:to>
      <xdr:col>2</xdr:col>
      <xdr:colOff>752475</xdr:colOff>
      <xdr:row>5</xdr:row>
      <xdr:rowOff>47624</xdr:rowOff>
    </xdr:to>
    <xdr:sp macro="" textlink="">
      <xdr:nvSpPr>
        <xdr:cNvPr id="2" name="Rectangle : coins arrondi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6225" y="552449"/>
          <a:ext cx="2000250" cy="4476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Ajout d'employés</a:t>
          </a:r>
        </a:p>
      </xdr:txBody>
    </xdr:sp>
    <xdr:clientData/>
  </xdr:twoCellAnchor>
  <xdr:twoCellAnchor>
    <xdr:from>
      <xdr:col>3</xdr:col>
      <xdr:colOff>57150</xdr:colOff>
      <xdr:row>2</xdr:row>
      <xdr:rowOff>171450</xdr:rowOff>
    </xdr:from>
    <xdr:to>
      <xdr:col>5</xdr:col>
      <xdr:colOff>685800</xdr:colOff>
      <xdr:row>5</xdr:row>
      <xdr:rowOff>38100</xdr:rowOff>
    </xdr:to>
    <xdr:sp macro="" textlink="">
      <xdr:nvSpPr>
        <xdr:cNvPr id="3" name="Rectangle : coins arrondi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343150" y="552450"/>
          <a:ext cx="2152650" cy="43815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Base</a:t>
          </a:r>
          <a:r>
            <a:rPr lang="en-US" sz="1200" b="1" baseline="0"/>
            <a:t> de données</a:t>
          </a:r>
          <a:endParaRPr lang="en-US" sz="1200" b="1"/>
        </a:p>
      </xdr:txBody>
    </xdr:sp>
    <xdr:clientData/>
  </xdr:twoCellAnchor>
  <xdr:twoCellAnchor>
    <xdr:from>
      <xdr:col>2</xdr:col>
      <xdr:colOff>114299</xdr:colOff>
      <xdr:row>5</xdr:row>
      <xdr:rowOff>114300</xdr:rowOff>
    </xdr:from>
    <xdr:to>
      <xdr:col>4</xdr:col>
      <xdr:colOff>485774</xdr:colOff>
      <xdr:row>7</xdr:row>
      <xdr:rowOff>171450</xdr:rowOff>
    </xdr:to>
    <xdr:sp macro="" textlink="">
      <xdr:nvSpPr>
        <xdr:cNvPr id="4" name="Rectangle : coins arrondi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638299" y="1066800"/>
          <a:ext cx="1895475" cy="43815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Statistiques</a:t>
          </a:r>
        </a:p>
      </xdr:txBody>
    </xdr:sp>
    <xdr:clientData/>
  </xdr:twoCellAnchor>
  <xdr:twoCellAnchor editAs="absolute">
    <xdr:from>
      <xdr:col>0</xdr:col>
      <xdr:colOff>457199</xdr:colOff>
      <xdr:row>3</xdr:row>
      <xdr:rowOff>38100</xdr:rowOff>
    </xdr:from>
    <xdr:to>
      <xdr:col>1</xdr:col>
      <xdr:colOff>228599</xdr:colOff>
      <xdr:row>4</xdr:row>
      <xdr:rowOff>140504</xdr:rowOff>
    </xdr:to>
    <xdr:pic>
      <xdr:nvPicPr>
        <xdr:cNvPr id="6" name="Imag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8" t="5570" r="9485" b="6699"/>
        <a:stretch/>
      </xdr:blipFill>
      <xdr:spPr>
        <a:xfrm rot="10800000" flipV="1">
          <a:off x="457199" y="609600"/>
          <a:ext cx="533400" cy="292904"/>
        </a:xfrm>
        <a:prstGeom prst="rect">
          <a:avLst/>
        </a:prstGeom>
      </xdr:spPr>
    </xdr:pic>
    <xdr:clientData/>
  </xdr:twoCellAnchor>
  <xdr:twoCellAnchor editAs="oneCell">
    <xdr:from>
      <xdr:col>3</xdr:col>
      <xdr:colOff>247648</xdr:colOff>
      <xdr:row>2</xdr:row>
      <xdr:rowOff>171450</xdr:rowOff>
    </xdr:from>
    <xdr:to>
      <xdr:col>4</xdr:col>
      <xdr:colOff>238123</xdr:colOff>
      <xdr:row>5</xdr:row>
      <xdr:rowOff>38100</xdr:rowOff>
    </xdr:to>
    <xdr:pic>
      <xdr:nvPicPr>
        <xdr:cNvPr id="7" name="Image 6" descr="D:\download\téléchargement__1_-removebg-preview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V="1">
          <a:off x="2533648" y="552450"/>
          <a:ext cx="752475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533399</xdr:colOff>
      <xdr:row>5</xdr:row>
      <xdr:rowOff>95250</xdr:rowOff>
    </xdr:from>
    <xdr:to>
      <xdr:col>3</xdr:col>
      <xdr:colOff>219075</xdr:colOff>
      <xdr:row>7</xdr:row>
      <xdr:rowOff>133351</xdr:rowOff>
    </xdr:to>
    <xdr:pic>
      <xdr:nvPicPr>
        <xdr:cNvPr id="8" name="Image 7" descr="D:\download\téléchargement-removebg-preview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399" y="1047750"/>
          <a:ext cx="447676" cy="419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3</xdr:row>
          <xdr:rowOff>76200</xdr:rowOff>
        </xdr:from>
        <xdr:to>
          <xdr:col>4</xdr:col>
          <xdr:colOff>104775</xdr:colOff>
          <xdr:row>4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Nom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</xdr:row>
          <xdr:rowOff>76200</xdr:rowOff>
        </xdr:from>
        <xdr:to>
          <xdr:col>4</xdr:col>
          <xdr:colOff>1276350</xdr:colOff>
          <xdr:row>4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3</xdr:row>
          <xdr:rowOff>38100</xdr:rowOff>
        </xdr:from>
        <xdr:to>
          <xdr:col>8</xdr:col>
          <xdr:colOff>47625</xdr:colOff>
          <xdr:row>4</xdr:row>
          <xdr:rowOff>28575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attente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914400</xdr:colOff>
          <xdr:row>3</xdr:row>
          <xdr:rowOff>28575</xdr:rowOff>
        </xdr:from>
        <xdr:to>
          <xdr:col>8</xdr:col>
          <xdr:colOff>723900</xdr:colOff>
          <xdr:row>4</xdr:row>
          <xdr:rowOff>19050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Annulée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895350</xdr:colOff>
          <xdr:row>4</xdr:row>
          <xdr:rowOff>19050</xdr:rowOff>
        </xdr:from>
        <xdr:to>
          <xdr:col>8</xdr:col>
          <xdr:colOff>904875</xdr:colOff>
          <xdr:row>5</xdr:row>
          <xdr:rowOff>9525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Confirmée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4</xdr:row>
          <xdr:rowOff>9525</xdr:rowOff>
        </xdr:from>
        <xdr:to>
          <xdr:col>8</xdr:col>
          <xdr:colOff>152400</xdr:colOff>
          <xdr:row>5</xdr:row>
          <xdr:rowOff>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200025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Rechercher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161925</xdr:rowOff>
        </xdr:from>
        <xdr:to>
          <xdr:col>4</xdr:col>
          <xdr:colOff>676275</xdr:colOff>
          <xdr:row>5</xdr:row>
          <xdr:rowOff>209550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666748</xdr:colOff>
      <xdr:row>2</xdr:row>
      <xdr:rowOff>28575</xdr:rowOff>
    </xdr:from>
    <xdr:to>
      <xdr:col>2</xdr:col>
      <xdr:colOff>191331</xdr:colOff>
      <xdr:row>4</xdr:row>
      <xdr:rowOff>209550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8" t="5570" r="9485" b="6699"/>
        <a:stretch/>
      </xdr:blipFill>
      <xdr:spPr>
        <a:xfrm rot="10800000" flipV="1">
          <a:off x="2057398" y="514350"/>
          <a:ext cx="877133" cy="6381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</xdr:row>
      <xdr:rowOff>28575</xdr:rowOff>
    </xdr:from>
    <xdr:to>
      <xdr:col>1</xdr:col>
      <xdr:colOff>619125</xdr:colOff>
      <xdr:row>4</xdr:row>
      <xdr:rowOff>171450</xdr:rowOff>
    </xdr:to>
    <xdr:pic>
      <xdr:nvPicPr>
        <xdr:cNvPr id="12" name="Image 11" descr="D:\download\téléchargement-removebg-preview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9700" y="514350"/>
          <a:ext cx="60007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371476</xdr:colOff>
      <xdr:row>2</xdr:row>
      <xdr:rowOff>28576</xdr:rowOff>
    </xdr:from>
    <xdr:to>
      <xdr:col>2</xdr:col>
      <xdr:colOff>962026</xdr:colOff>
      <xdr:row>4</xdr:row>
      <xdr:rowOff>161926</xdr:rowOff>
    </xdr:to>
    <xdr:pic>
      <xdr:nvPicPr>
        <xdr:cNvPr id="13" name="Image 12" descr="D:\download\images-removebg-preview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4676" y="514351"/>
          <a:ext cx="590550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19</xdr:row>
          <xdr:rowOff>57150</xdr:rowOff>
        </xdr:from>
        <xdr:to>
          <xdr:col>5</xdr:col>
          <xdr:colOff>1095375</xdr:colOff>
          <xdr:row>21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</xdr:row>
          <xdr:rowOff>66675</xdr:rowOff>
        </xdr:from>
        <xdr:to>
          <xdr:col>5</xdr:col>
          <xdr:colOff>0</xdr:colOff>
          <xdr:row>21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85725</xdr:colOff>
      <xdr:row>7</xdr:row>
      <xdr:rowOff>66675</xdr:rowOff>
    </xdr:from>
    <xdr:to>
      <xdr:col>1</xdr:col>
      <xdr:colOff>619125</xdr:colOff>
      <xdr:row>13</xdr:row>
      <xdr:rowOff>76200</xdr:rowOff>
    </xdr:to>
    <xdr:pic>
      <xdr:nvPicPr>
        <xdr:cNvPr id="7" name="Image 6" descr="D:\download\téléchargement__1_-removebg-preview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495425"/>
          <a:ext cx="1295400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161926</xdr:colOff>
      <xdr:row>13</xdr:row>
      <xdr:rowOff>85726</xdr:rowOff>
    </xdr:from>
    <xdr:to>
      <xdr:col>1</xdr:col>
      <xdr:colOff>619126</xdr:colOff>
      <xdr:row>19</xdr:row>
      <xdr:rowOff>28576</xdr:rowOff>
    </xdr:to>
    <xdr:pic>
      <xdr:nvPicPr>
        <xdr:cNvPr id="8" name="Image 7" descr="D:\download\téléchargement-removebg-preview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6" y="2800351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190501</xdr:colOff>
      <xdr:row>1</xdr:row>
      <xdr:rowOff>180976</xdr:rowOff>
    </xdr:from>
    <xdr:to>
      <xdr:col>1</xdr:col>
      <xdr:colOff>495301</xdr:colOff>
      <xdr:row>7</xdr:row>
      <xdr:rowOff>47626</xdr:rowOff>
    </xdr:to>
    <xdr:pic>
      <xdr:nvPicPr>
        <xdr:cNvPr id="9" name="Image 8" descr="D:\download\images-removebg-preview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409576"/>
          <a:ext cx="1066800" cy="106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628649</xdr:colOff>
      <xdr:row>4</xdr:row>
      <xdr:rowOff>19050</xdr:rowOff>
    </xdr:from>
    <xdr:to>
      <xdr:col>6</xdr:col>
      <xdr:colOff>733424</xdr:colOff>
      <xdr:row>18</xdr:row>
      <xdr:rowOff>161925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295275</xdr:colOff>
      <xdr:row>4</xdr:row>
      <xdr:rowOff>0</xdr:rowOff>
    </xdr:from>
    <xdr:to>
      <xdr:col>15</xdr:col>
      <xdr:colOff>371475</xdr:colOff>
      <xdr:row>18</xdr:row>
      <xdr:rowOff>123826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21</xdr:row>
          <xdr:rowOff>19050</xdr:rowOff>
        </xdr:from>
        <xdr:to>
          <xdr:col>7</xdr:col>
          <xdr:colOff>476250</xdr:colOff>
          <xdr:row>22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gency FB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25459</xdr:colOff>
      <xdr:row>0</xdr:row>
      <xdr:rowOff>95250</xdr:rowOff>
    </xdr:from>
    <xdr:to>
      <xdr:col>3</xdr:col>
      <xdr:colOff>234818</xdr:colOff>
      <xdr:row>2</xdr:row>
      <xdr:rowOff>133350</xdr:rowOff>
    </xdr:to>
    <xdr:pic>
      <xdr:nvPicPr>
        <xdr:cNvPr id="5" name="Imag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8" t="5570" r="9485" b="6699"/>
        <a:stretch/>
      </xdr:blipFill>
      <xdr:spPr>
        <a:xfrm rot="10800000" flipV="1">
          <a:off x="1549459" y="95250"/>
          <a:ext cx="971359" cy="533400"/>
        </a:xfrm>
        <a:prstGeom prst="rect">
          <a:avLst/>
        </a:prstGeom>
      </xdr:spPr>
    </xdr:pic>
    <xdr:clientData/>
  </xdr:twoCellAnchor>
  <xdr:twoCellAnchor editAs="oneCell">
    <xdr:from>
      <xdr:col>3</xdr:col>
      <xdr:colOff>200025</xdr:colOff>
      <xdr:row>0</xdr:row>
      <xdr:rowOff>28575</xdr:rowOff>
    </xdr:from>
    <xdr:to>
      <xdr:col>4</xdr:col>
      <xdr:colOff>38101</xdr:colOff>
      <xdr:row>2</xdr:row>
      <xdr:rowOff>133350</xdr:rowOff>
    </xdr:to>
    <xdr:pic>
      <xdr:nvPicPr>
        <xdr:cNvPr id="7" name="Image 6" descr="D:\download\téléchargement__1_-removebg-preview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6025" y="28575"/>
          <a:ext cx="600076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0</xdr:row>
      <xdr:rowOff>38100</xdr:rowOff>
    </xdr:from>
    <xdr:to>
      <xdr:col>4</xdr:col>
      <xdr:colOff>723900</xdr:colOff>
      <xdr:row>2</xdr:row>
      <xdr:rowOff>76200</xdr:rowOff>
    </xdr:to>
    <xdr:pic>
      <xdr:nvPicPr>
        <xdr:cNvPr id="8" name="Image 7" descr="D:\download\images-removebg-preview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62300" y="3810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 hamdi" refreshedDate="45701.691520370368" createdVersion="6" refreshedVersion="6" minRefreshableVersion="3" recordCount="9" xr:uid="{3D6FB6EA-0281-4131-BBDA-78C8C15937CB}">
  <cacheSource type="worksheet">
    <worksheetSource name="Tableau1"/>
  </cacheSource>
  <cacheFields count="7">
    <cacheField name="Code réservation" numFmtId="0">
      <sharedItems/>
    </cacheField>
    <cacheField name="Nom client" numFmtId="0">
      <sharedItems/>
    </cacheField>
    <cacheField name="Date arrivée" numFmtId="14">
      <sharedItems containsSemiMixedTypes="0" containsNonDate="0" containsDate="1" containsString="0" minDate="2025-03-20T00:00:00" maxDate="2058-10-06T00:00:00"/>
    </cacheField>
    <cacheField name="Type chambre" numFmtId="0">
      <sharedItems count="3">
        <s v="Simple"/>
        <s v="Suite"/>
        <s v="Double"/>
      </sharedItems>
    </cacheField>
    <cacheField name="Nombre nuits" numFmtId="0">
      <sharedItems containsSemiMixedTypes="0" containsString="0" containsNumber="1" containsInteger="1" minValue="3" maxValue="10"/>
    </cacheField>
    <cacheField name="Montant total" numFmtId="0">
      <sharedItems containsSemiMixedTypes="0" containsString="0" containsNumber="1" containsInteger="1" minValue="900" maxValue="12000"/>
    </cacheField>
    <cacheField name="Statut réservation" numFmtId="0">
      <sharedItems count="3">
        <s v="Confirmée"/>
        <s v="En attente"/>
        <s v="Annulé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R1283"/>
    <s v="Bennani Ahmed"/>
    <d v="2025-03-20T00:00:00"/>
    <x v="0"/>
    <n v="3"/>
    <n v="900"/>
    <x v="0"/>
  </r>
  <r>
    <s v="A4567"/>
    <s v="Ahmed  "/>
    <d v="2056-10-02T00:00:00"/>
    <x v="1"/>
    <n v="10"/>
    <n v="12000"/>
    <x v="1"/>
  </r>
  <r>
    <s v="D4578"/>
    <s v="El Yousfi Fatima"/>
    <d v="2025-03-22T00:00:00"/>
    <x v="2"/>
    <n v="3"/>
    <n v="1500"/>
    <x v="1"/>
  </r>
  <r>
    <s v="C5647"/>
    <s v="Fikri Mohamed"/>
    <d v="2025-03-23T00:00:00"/>
    <x v="2"/>
    <n v="5"/>
    <n v="2500"/>
    <x v="2"/>
  </r>
  <r>
    <s v="J5487"/>
    <s v="jamila"/>
    <d v="2028-10-05T00:00:00"/>
    <x v="2"/>
    <n v="10"/>
    <n v="5000"/>
    <x v="1"/>
  </r>
  <r>
    <s v="L2390"/>
    <s v="Moujahid Karim"/>
    <d v="2025-03-24T00:00:00"/>
    <x v="1"/>
    <n v="3"/>
    <n v="3600"/>
    <x v="0"/>
  </r>
  <r>
    <s v="C8542"/>
    <s v="Oussama"/>
    <d v="2058-10-05T00:00:00"/>
    <x v="0"/>
    <n v="10"/>
    <n v="3000"/>
    <x v="0"/>
  </r>
  <r>
    <s v="A8745"/>
    <s v="qsdsqdqs"/>
    <d v="2028-10-08T00:00:00"/>
    <x v="2"/>
    <n v="10"/>
    <n v="5000"/>
    <x v="0"/>
  </r>
  <r>
    <s v="D4852"/>
    <s v="SDQDQ"/>
    <d v="2028-10-05T00:00:00"/>
    <x v="0"/>
    <n v="5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10C9DF-4A6D-432E-A4F3-B58FA638FD9D}" name="Tableau croisé dynamique2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6">
  <location ref="A9:B13" firstHeaderRow="1" firstDataRow="1" firstDataCol="1"/>
  <pivotFields count="7">
    <pivotField dataField="1" showAll="0"/>
    <pivotField showAll="0"/>
    <pivotField numFmtId="14"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Code réservation" fld="0" subtotal="count" baseField="0" baseItem="0"/>
  </dataFields>
  <formats count="1">
    <format dxfId="12">
      <pivotArea outline="0" collapsedLevelsAreSubtotals="1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E485CE-9DB8-47CC-BEBD-C1704ABD9FE6}" name="Tableau croisé dynamique1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3:B7" firstHeaderRow="1" firstDataRow="1" firstDataCol="1"/>
  <pivotFields count="7">
    <pivotField showAll="0"/>
    <pivotField showAll="0"/>
    <pivotField numFmtId="14" showAll="0"/>
    <pivotField axis="axisRow" showAll="0">
      <items count="4">
        <item x="2"/>
        <item x="0"/>
        <item x="1"/>
        <item t="default"/>
      </items>
    </pivotField>
    <pivotField showAll="0"/>
    <pivotField dataField="1"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Montant total" fld="5" baseField="0" baseItem="0" numFmtId="166"/>
  </dataFields>
  <formats count="1">
    <format dxfId="13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0CE8EE-769A-4C1E-A7A1-DF6BC8FE5C63}" name="Tableau1" displayName="Tableau1" ref="A8:G17" totalsRowShown="0" headerRowDxfId="10" headerRowBorderDxfId="9" tableBorderDxfId="8" totalsRowBorderDxfId="7">
  <autoFilter ref="A8:G17" xr:uid="{BD316337-CE30-4D92-91E3-B44086278BA2}"/>
  <sortState ref="A9:G17">
    <sortCondition ref="C8:C17"/>
  </sortState>
  <tableColumns count="7">
    <tableColumn id="1" xr3:uid="{3A157BCD-8AAE-43C8-A4F4-36B5DF944D73}" name="Code réservation" dataDxfId="6"/>
    <tableColumn id="2" xr3:uid="{3512A237-7DCC-4E10-862C-12E2A8BA97CE}" name="Nom client" dataDxfId="5"/>
    <tableColumn id="3" xr3:uid="{83121BD4-6D1A-4066-864E-037432E119D6}" name="Date arrivée" dataDxfId="4"/>
    <tableColumn id="4" xr3:uid="{18E708D3-D071-475C-A602-D135320F5167}" name="Type chambre" dataDxfId="3"/>
    <tableColumn id="5" xr3:uid="{2172F2E1-143D-4212-ACEF-D94AD1C2ED12}" name="Nombre nuits" dataDxfId="2"/>
    <tableColumn id="6" xr3:uid="{67A14D4A-3D35-4C27-8ACF-C0770C9DB262}" name="Montant total" dataDxfId="1"/>
    <tableColumn id="7" xr3:uid="{9F0F15BE-09F9-4778-A937-88CC959575CD}" name="Statut réserv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6E23-D527-443A-B699-B4E51F2155AF}">
  <sheetPr codeName="Feuil3"/>
  <dimension ref="A3:B13"/>
  <sheetViews>
    <sheetView workbookViewId="0">
      <selection activeCell="F29" sqref="F29"/>
    </sheetView>
  </sheetViews>
  <sheetFormatPr baseColWidth="10" defaultRowHeight="15" x14ac:dyDescent="0.25"/>
  <cols>
    <col min="1" max="1" width="21" bestFit="1" customWidth="1"/>
    <col min="2" max="2" width="23.42578125" bestFit="1" customWidth="1"/>
  </cols>
  <sheetData>
    <row r="3" spans="1:2" x14ac:dyDescent="0.25">
      <c r="A3" s="26" t="s">
        <v>37</v>
      </c>
      <c r="B3" t="s">
        <v>39</v>
      </c>
    </row>
    <row r="4" spans="1:2" x14ac:dyDescent="0.25">
      <c r="A4" s="27" t="s">
        <v>9</v>
      </c>
      <c r="B4" s="29">
        <v>14000</v>
      </c>
    </row>
    <row r="5" spans="1:2" x14ac:dyDescent="0.25">
      <c r="A5" s="27" t="s">
        <v>6</v>
      </c>
      <c r="B5" s="29">
        <v>5400</v>
      </c>
    </row>
    <row r="6" spans="1:2" x14ac:dyDescent="0.25">
      <c r="A6" s="27" t="s">
        <v>10</v>
      </c>
      <c r="B6" s="29">
        <v>15600</v>
      </c>
    </row>
    <row r="7" spans="1:2" x14ac:dyDescent="0.25">
      <c r="A7" s="27" t="s">
        <v>38</v>
      </c>
      <c r="B7" s="29">
        <v>35000</v>
      </c>
    </row>
    <row r="9" spans="1:2" x14ac:dyDescent="0.25">
      <c r="A9" s="26" t="s">
        <v>37</v>
      </c>
      <c r="B9" t="s">
        <v>40</v>
      </c>
    </row>
    <row r="10" spans="1:2" x14ac:dyDescent="0.25">
      <c r="A10" s="27" t="s">
        <v>12</v>
      </c>
      <c r="B10" s="28">
        <v>1</v>
      </c>
    </row>
    <row r="11" spans="1:2" x14ac:dyDescent="0.25">
      <c r="A11" s="27" t="s">
        <v>7</v>
      </c>
      <c r="B11" s="28">
        <v>5</v>
      </c>
    </row>
    <row r="12" spans="1:2" x14ac:dyDescent="0.25">
      <c r="A12" s="27" t="s">
        <v>2</v>
      </c>
      <c r="B12" s="28">
        <v>3</v>
      </c>
    </row>
    <row r="13" spans="1:2" x14ac:dyDescent="0.25">
      <c r="A13" s="27" t="s">
        <v>38</v>
      </c>
      <c r="B13" s="28">
        <v>9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DAC9C-A0A4-4148-8299-1559697CF3BC}">
  <sheetPr codeName="Feuil5"/>
  <dimension ref="A1:G8"/>
  <sheetViews>
    <sheetView workbookViewId="0">
      <selection activeCell="I9" sqref="I9"/>
    </sheetView>
  </sheetViews>
  <sheetFormatPr baseColWidth="10" defaultRowHeight="15" x14ac:dyDescent="0.25"/>
  <sheetData>
    <row r="1" spans="1:7" x14ac:dyDescent="0.25">
      <c r="B1" s="38" t="s">
        <v>43</v>
      </c>
      <c r="C1" s="39"/>
      <c r="D1" s="39"/>
      <c r="E1" s="39"/>
      <c r="F1" s="39"/>
    </row>
    <row r="2" spans="1:7" x14ac:dyDescent="0.25">
      <c r="B2" s="39"/>
      <c r="C2" s="39"/>
      <c r="D2" s="39"/>
      <c r="E2" s="39"/>
      <c r="F2" s="39"/>
    </row>
    <row r="3" spans="1:7" x14ac:dyDescent="0.25">
      <c r="A3" s="24"/>
      <c r="B3" s="24"/>
      <c r="C3" s="24"/>
      <c r="D3" s="24"/>
      <c r="E3" s="24"/>
      <c r="F3" s="24"/>
      <c r="G3" s="24"/>
    </row>
    <row r="4" spans="1:7" x14ac:dyDescent="0.25">
      <c r="A4" s="24"/>
      <c r="B4" s="24"/>
      <c r="C4" s="24"/>
      <c r="D4" s="24"/>
      <c r="E4" s="24"/>
      <c r="F4" s="24"/>
      <c r="G4" s="24"/>
    </row>
    <row r="5" spans="1:7" x14ac:dyDescent="0.25">
      <c r="A5" s="24"/>
      <c r="B5" s="24"/>
      <c r="C5" s="24"/>
      <c r="D5" s="24"/>
      <c r="E5" s="24"/>
      <c r="F5" s="24"/>
      <c r="G5" s="24"/>
    </row>
    <row r="6" spans="1:7" x14ac:dyDescent="0.25">
      <c r="A6" s="24"/>
      <c r="B6" s="24"/>
      <c r="C6" s="24"/>
      <c r="D6" s="24"/>
      <c r="E6" s="24"/>
      <c r="F6" s="24"/>
      <c r="G6" s="24"/>
    </row>
    <row r="7" spans="1:7" x14ac:dyDescent="0.25">
      <c r="A7" s="24"/>
      <c r="B7" s="24"/>
      <c r="C7" s="24"/>
      <c r="D7" s="24"/>
      <c r="E7" s="24"/>
      <c r="F7" s="24"/>
      <c r="G7" s="24"/>
    </row>
    <row r="8" spans="1:7" x14ac:dyDescent="0.25">
      <c r="A8" s="24"/>
      <c r="B8" s="24"/>
      <c r="C8" s="24"/>
      <c r="D8" s="24"/>
      <c r="E8" s="24"/>
      <c r="F8" s="24"/>
      <c r="G8" s="24"/>
    </row>
  </sheetData>
  <mergeCells count="1">
    <mergeCell ref="B1:F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Q17"/>
  <sheetViews>
    <sheetView zoomScaleNormal="100" workbookViewId="0"/>
  </sheetViews>
  <sheetFormatPr baseColWidth="10" defaultColWidth="9.140625" defaultRowHeight="15" x14ac:dyDescent="0.25"/>
  <cols>
    <col min="1" max="1" width="20.85546875" bestFit="1" customWidth="1"/>
    <col min="2" max="2" width="20.28515625" bestFit="1" customWidth="1"/>
    <col min="3" max="3" width="16.42578125" bestFit="1" customWidth="1"/>
    <col min="4" max="4" width="18" bestFit="1" customWidth="1"/>
    <col min="5" max="5" width="22.5703125" bestFit="1" customWidth="1"/>
    <col min="6" max="6" width="17.85546875" bestFit="1" customWidth="1"/>
    <col min="7" max="7" width="22.5703125" bestFit="1" customWidth="1"/>
    <col min="8" max="8" width="14.5703125" customWidth="1"/>
    <col min="9" max="9" width="15.140625" customWidth="1"/>
    <col min="10" max="10" width="16.28515625" bestFit="1" customWidth="1"/>
    <col min="11" max="11" width="15" bestFit="1" customWidth="1"/>
    <col min="12" max="12" width="15.5703125" bestFit="1" customWidth="1"/>
    <col min="13" max="13" width="13.5703125" bestFit="1" customWidth="1"/>
    <col min="14" max="14" width="17" bestFit="1" customWidth="1"/>
    <col min="15" max="15" width="13.42578125" bestFit="1" customWidth="1"/>
    <col min="16" max="16" width="17" bestFit="1" customWidth="1"/>
    <col min="17" max="17" width="16.28515625" bestFit="1" customWidth="1"/>
    <col min="18" max="18" width="10.7109375" bestFit="1" customWidth="1"/>
    <col min="19" max="19" width="11.85546875" bestFit="1" customWidth="1"/>
    <col min="20" max="20" width="13.42578125" bestFit="1" customWidth="1"/>
    <col min="21" max="21" width="13.140625" bestFit="1" customWidth="1"/>
    <col min="22" max="22" width="13.28515625" bestFit="1" customWidth="1"/>
    <col min="23" max="23" width="17" bestFit="1" customWidth="1"/>
  </cols>
  <sheetData>
    <row r="1" spans="1:17" ht="20.25" customHeight="1" x14ac:dyDescent="0.25">
      <c r="E1" s="41" t="s">
        <v>45</v>
      </c>
      <c r="F1" s="41"/>
      <c r="G1" s="41"/>
    </row>
    <row r="2" spans="1:17" ht="18" customHeight="1" x14ac:dyDescent="0.25">
      <c r="D2" s="44" t="s">
        <v>36</v>
      </c>
      <c r="E2" s="44"/>
      <c r="G2" s="44" t="s">
        <v>31</v>
      </c>
      <c r="H2" s="44"/>
      <c r="I2" s="44"/>
      <c r="K2" s="40" t="s">
        <v>33</v>
      </c>
      <c r="L2" s="40"/>
      <c r="M2" s="40"/>
      <c r="N2" s="40"/>
      <c r="O2" s="40"/>
      <c r="P2" s="40"/>
      <c r="Q2" s="40"/>
    </row>
    <row r="3" spans="1:17" s="4" customFormat="1" ht="18" customHeight="1" x14ac:dyDescent="0.25">
      <c r="A3" s="42" t="s">
        <v>44</v>
      </c>
      <c r="B3" s="36"/>
      <c r="C3" s="36"/>
      <c r="D3" s="24"/>
      <c r="E3" s="24"/>
      <c r="G3" s="24"/>
      <c r="H3" s="24"/>
      <c r="I3" s="24"/>
      <c r="K3" s="24"/>
      <c r="L3" s="24"/>
      <c r="M3" s="24"/>
      <c r="N3" s="24"/>
      <c r="O3" s="24"/>
      <c r="P3" s="24"/>
      <c r="Q3" s="24"/>
    </row>
    <row r="4" spans="1:17" s="4" customFormat="1" ht="18" customHeight="1" x14ac:dyDescent="0.3">
      <c r="A4" s="42"/>
      <c r="B4" s="37"/>
      <c r="C4" s="36"/>
      <c r="D4" s="24"/>
      <c r="E4" s="23"/>
      <c r="G4" s="43" t="s">
        <v>32</v>
      </c>
      <c r="H4" s="24"/>
      <c r="I4" s="24"/>
      <c r="K4" s="31" t="s">
        <v>14</v>
      </c>
      <c r="L4" s="31" t="s">
        <v>16</v>
      </c>
      <c r="M4" s="31" t="s">
        <v>17</v>
      </c>
      <c r="N4" s="31" t="s">
        <v>18</v>
      </c>
      <c r="O4" s="31" t="s">
        <v>19</v>
      </c>
      <c r="P4" s="31" t="s">
        <v>20</v>
      </c>
      <c r="Q4" s="31" t="s">
        <v>15</v>
      </c>
    </row>
    <row r="5" spans="1:17" s="4" customFormat="1" ht="18" customHeight="1" x14ac:dyDescent="0.25">
      <c r="A5" s="42"/>
      <c r="B5" s="36"/>
      <c r="C5" s="36"/>
      <c r="D5" s="24"/>
      <c r="E5" s="23"/>
      <c r="G5" s="43"/>
      <c r="H5" s="24"/>
      <c r="I5" s="24"/>
      <c r="K5" s="32" t="s">
        <v>5</v>
      </c>
      <c r="L5" s="32" t="s">
        <v>0</v>
      </c>
      <c r="M5" s="33">
        <v>45736</v>
      </c>
      <c r="N5" s="32" t="s">
        <v>6</v>
      </c>
      <c r="O5" s="32">
        <v>3</v>
      </c>
      <c r="P5" s="34">
        <v>900</v>
      </c>
      <c r="Q5" s="32" t="s">
        <v>7</v>
      </c>
    </row>
    <row r="6" spans="1:17" s="4" customFormat="1" ht="18" customHeight="1" x14ac:dyDescent="0.25">
      <c r="D6" s="23"/>
      <c r="E6" s="23"/>
      <c r="G6" s="24"/>
      <c r="H6" s="24"/>
      <c r="I6" s="24"/>
      <c r="K6" s="24"/>
      <c r="L6" s="24"/>
      <c r="M6" s="24"/>
      <c r="N6" s="24"/>
      <c r="O6" s="24"/>
      <c r="P6" s="24"/>
      <c r="Q6" s="24"/>
    </row>
    <row r="7" spans="1:17" s="4" customFormat="1" ht="18" customHeight="1" x14ac:dyDescent="0.25">
      <c r="K7" s="24"/>
      <c r="L7" s="24"/>
      <c r="M7" s="24"/>
      <c r="N7" s="24"/>
      <c r="O7" s="24"/>
      <c r="P7" s="24"/>
      <c r="Q7" s="24"/>
    </row>
    <row r="8" spans="1:17" s="4" customFormat="1" ht="18" customHeight="1" x14ac:dyDescent="0.25">
      <c r="A8" s="20" t="s">
        <v>14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2" t="s">
        <v>15</v>
      </c>
      <c r="H8"/>
      <c r="L8"/>
      <c r="M8"/>
    </row>
    <row r="9" spans="1:17" s="4" customFormat="1" ht="18" customHeight="1" x14ac:dyDescent="0.25">
      <c r="A9" s="14" t="s">
        <v>5</v>
      </c>
      <c r="B9" s="2" t="s">
        <v>0</v>
      </c>
      <c r="C9" s="1">
        <v>45736</v>
      </c>
      <c r="D9" s="2" t="s">
        <v>6</v>
      </c>
      <c r="E9" s="2">
        <v>3</v>
      </c>
      <c r="F9" s="2">
        <v>900</v>
      </c>
      <c r="G9" s="15" t="s">
        <v>7</v>
      </c>
      <c r="H9"/>
    </row>
    <row r="10" spans="1:17" s="4" customFormat="1" ht="18" customHeight="1" x14ac:dyDescent="0.25">
      <c r="A10" s="14" t="s">
        <v>8</v>
      </c>
      <c r="B10" s="2" t="s">
        <v>1</v>
      </c>
      <c r="C10" s="1">
        <v>45738</v>
      </c>
      <c r="D10" s="2" t="s">
        <v>9</v>
      </c>
      <c r="E10" s="2">
        <v>3</v>
      </c>
      <c r="F10" s="3">
        <v>1500</v>
      </c>
      <c r="G10" s="15" t="s">
        <v>2</v>
      </c>
    </row>
    <row r="11" spans="1:17" s="4" customFormat="1" ht="18" customHeight="1" x14ac:dyDescent="0.25">
      <c r="A11" s="14" t="s">
        <v>11</v>
      </c>
      <c r="B11" s="2" t="s">
        <v>3</v>
      </c>
      <c r="C11" s="1">
        <v>45739</v>
      </c>
      <c r="D11" s="2" t="s">
        <v>9</v>
      </c>
      <c r="E11" s="2">
        <v>5</v>
      </c>
      <c r="F11" s="3">
        <v>2500</v>
      </c>
      <c r="G11" s="15" t="s">
        <v>12</v>
      </c>
    </row>
    <row r="12" spans="1:17" s="4" customFormat="1" ht="18" customHeight="1" x14ac:dyDescent="0.25">
      <c r="A12" s="14" t="s">
        <v>13</v>
      </c>
      <c r="B12" s="2" t="s">
        <v>4</v>
      </c>
      <c r="C12" s="1">
        <v>45740</v>
      </c>
      <c r="D12" s="2" t="s">
        <v>10</v>
      </c>
      <c r="E12" s="2">
        <v>3</v>
      </c>
      <c r="F12" s="3">
        <v>3600</v>
      </c>
      <c r="G12" s="15" t="s">
        <v>7</v>
      </c>
      <c r="H12"/>
      <c r="I12"/>
    </row>
    <row r="13" spans="1:17" ht="18" customHeight="1" x14ac:dyDescent="0.25">
      <c r="A13" s="14" t="s">
        <v>41</v>
      </c>
      <c r="B13" s="2" t="s">
        <v>42</v>
      </c>
      <c r="C13" s="1">
        <v>47031</v>
      </c>
      <c r="D13" s="2" t="s">
        <v>9</v>
      </c>
      <c r="E13" s="2">
        <v>10</v>
      </c>
      <c r="F13" s="2">
        <v>5000</v>
      </c>
      <c r="G13" s="15" t="s">
        <v>2</v>
      </c>
    </row>
    <row r="14" spans="1:17" ht="18" customHeight="1" x14ac:dyDescent="0.25">
      <c r="A14" s="14" t="s">
        <v>29</v>
      </c>
      <c r="B14" s="2" t="s">
        <v>30</v>
      </c>
      <c r="C14" s="1">
        <v>47031</v>
      </c>
      <c r="D14" s="2" t="s">
        <v>6</v>
      </c>
      <c r="E14" s="2">
        <v>5</v>
      </c>
      <c r="F14" s="2">
        <v>1500</v>
      </c>
      <c r="G14" s="15" t="s">
        <v>7</v>
      </c>
    </row>
    <row r="15" spans="1:17" x14ac:dyDescent="0.25">
      <c r="A15" s="14" t="s">
        <v>34</v>
      </c>
      <c r="B15" s="2" t="s">
        <v>35</v>
      </c>
      <c r="C15" s="1">
        <v>47034</v>
      </c>
      <c r="D15" s="2" t="s">
        <v>9</v>
      </c>
      <c r="E15" s="2">
        <v>10</v>
      </c>
      <c r="F15" s="3">
        <v>5000</v>
      </c>
      <c r="G15" s="15" t="s">
        <v>7</v>
      </c>
    </row>
    <row r="16" spans="1:17" x14ac:dyDescent="0.25">
      <c r="A16" s="14" t="s">
        <v>49</v>
      </c>
      <c r="B16" s="2" t="s">
        <v>50</v>
      </c>
      <c r="C16" s="1">
        <v>57255</v>
      </c>
      <c r="D16" s="2" t="s">
        <v>10</v>
      </c>
      <c r="E16" s="2">
        <v>10</v>
      </c>
      <c r="F16" s="2">
        <v>12000</v>
      </c>
      <c r="G16" s="15" t="s">
        <v>2</v>
      </c>
    </row>
    <row r="17" spans="1:7" x14ac:dyDescent="0.25">
      <c r="A17" s="16" t="s">
        <v>27</v>
      </c>
      <c r="B17" s="17" t="s">
        <v>28</v>
      </c>
      <c r="C17" s="18">
        <v>57988</v>
      </c>
      <c r="D17" s="17" t="s">
        <v>6</v>
      </c>
      <c r="E17" s="17">
        <v>10</v>
      </c>
      <c r="F17" s="17">
        <v>3000</v>
      </c>
      <c r="G17" s="19" t="s">
        <v>7</v>
      </c>
    </row>
  </sheetData>
  <mergeCells count="6">
    <mergeCell ref="K2:Q2"/>
    <mergeCell ref="E1:G1"/>
    <mergeCell ref="A3:A5"/>
    <mergeCell ref="G4:G5"/>
    <mergeCell ref="D2:E2"/>
    <mergeCell ref="G2:I2"/>
  </mergeCells>
  <conditionalFormatting sqref="A8:A17">
    <cfRule type="duplicateValues" dxfId="11" priority="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RechercheReservation2">
                <anchor moveWithCells="1" sizeWithCells="1">
                  <from>
                    <xdr:col>13</xdr:col>
                    <xdr:colOff>9525</xdr:colOff>
                    <xdr:row>5</xdr:row>
                    <xdr:rowOff>200025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Option Button 7">
              <controlPr defaultSize="0" autoFill="0" autoLine="0" autoPict="0" macro="[0]!En_attente">
                <anchor moveWithCells="1">
                  <from>
                    <xdr:col>7</xdr:col>
                    <xdr:colOff>209550</xdr:colOff>
                    <xdr:row>3</xdr:row>
                    <xdr:rowOff>38100</xdr:rowOff>
                  </from>
                  <to>
                    <xdr:col>8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 macro="[0]!annulée">
                <anchor moveWithCells="1">
                  <from>
                    <xdr:col>7</xdr:col>
                    <xdr:colOff>914400</xdr:colOff>
                    <xdr:row>3</xdr:row>
                    <xdr:rowOff>28575</xdr:rowOff>
                  </from>
                  <to>
                    <xdr:col>8</xdr:col>
                    <xdr:colOff>723900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Option Button 9">
              <controlPr defaultSize="0" autoFill="0" autoLine="0" autoPict="0" macro="[0]!confirmée">
                <anchor moveWithCells="1">
                  <from>
                    <xdr:col>7</xdr:col>
                    <xdr:colOff>895350</xdr:colOff>
                    <xdr:row>4</xdr:row>
                    <xdr:rowOff>19050</xdr:rowOff>
                  </from>
                  <to>
                    <xdr:col>8</xdr:col>
                    <xdr:colOff>904875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Option Button 10">
              <controlPr defaultSize="0" autoFill="0" autoLine="0" autoPict="0" macro="[0]!All">
                <anchor moveWithCells="1">
                  <from>
                    <xdr:col>7</xdr:col>
                    <xdr:colOff>219075</xdr:colOff>
                    <xdr:row>4</xdr:row>
                    <xdr:rowOff>9525</xdr:rowOff>
                  </from>
                  <to>
                    <xdr:col>8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btn_filter_nom">
                <anchor moveWithCells="1" sizeWithCells="1">
                  <from>
                    <xdr:col>3</xdr:col>
                    <xdr:colOff>85725</xdr:colOff>
                    <xdr:row>3</xdr:row>
                    <xdr:rowOff>76200</xdr:rowOff>
                  </from>
                  <to>
                    <xdr:col>4</xdr:col>
                    <xdr:colOff>104775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tri_date">
                <anchor moveWithCells="1" sizeWithCells="1">
                  <from>
                    <xdr:col>4</xdr:col>
                    <xdr:colOff>200025</xdr:colOff>
                    <xdr:row>3</xdr:row>
                    <xdr:rowOff>76200</xdr:rowOff>
                  </from>
                  <to>
                    <xdr:col>4</xdr:col>
                    <xdr:colOff>1276350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Button 12">
              <controlPr defaultSize="0" print="0" autoFill="0" autoPict="0" macro="[0]!SupprimerReservation">
                <anchor moveWithCells="1" sizeWithCells="1">
                  <from>
                    <xdr:col>3</xdr:col>
                    <xdr:colOff>723900</xdr:colOff>
                    <xdr:row>4</xdr:row>
                    <xdr:rowOff>161925</xdr:rowOff>
                  </from>
                  <to>
                    <xdr:col>4</xdr:col>
                    <xdr:colOff>676275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36114-33DC-4963-B369-F3BAE996F877}">
  <sheetPr codeName="Feuil2"/>
  <dimension ref="A1:F22"/>
  <sheetViews>
    <sheetView workbookViewId="0">
      <selection activeCell="H9" sqref="H9"/>
    </sheetView>
  </sheetViews>
  <sheetFormatPr baseColWidth="10" defaultRowHeight="15" x14ac:dyDescent="0.25"/>
  <cols>
    <col min="4" max="4" width="25.28515625" bestFit="1" customWidth="1"/>
    <col min="5" max="5" width="16.42578125" customWidth="1"/>
    <col min="6" max="6" width="17.85546875" customWidth="1"/>
  </cols>
  <sheetData>
    <row r="1" spans="1:6" ht="21" x14ac:dyDescent="0.35">
      <c r="A1" s="45" t="s">
        <v>44</v>
      </c>
      <c r="B1" s="46"/>
      <c r="C1" s="47" t="s">
        <v>46</v>
      </c>
      <c r="D1" s="48"/>
      <c r="E1" s="48"/>
      <c r="F1" s="48"/>
    </row>
    <row r="2" spans="1:6" x14ac:dyDescent="0.25">
      <c r="A2" s="10"/>
      <c r="B2" s="10"/>
      <c r="C2" s="5"/>
      <c r="D2" s="5"/>
      <c r="E2" s="5"/>
      <c r="F2" s="5"/>
    </row>
    <row r="3" spans="1:6" x14ac:dyDescent="0.25">
      <c r="A3" s="10"/>
      <c r="B3" s="10"/>
      <c r="C3" s="5"/>
      <c r="D3" s="5"/>
      <c r="E3" s="5"/>
      <c r="F3" s="5"/>
    </row>
    <row r="4" spans="1:6" x14ac:dyDescent="0.25">
      <c r="A4" s="10"/>
      <c r="B4" s="10"/>
      <c r="C4" s="5"/>
      <c r="D4" s="5"/>
      <c r="E4" s="5"/>
      <c r="F4" s="5"/>
    </row>
    <row r="5" spans="1:6" ht="15.75" thickBot="1" x14ac:dyDescent="0.3">
      <c r="A5" s="10"/>
      <c r="B5" s="10"/>
      <c r="C5" s="5"/>
      <c r="D5" s="5"/>
      <c r="E5" s="5"/>
      <c r="F5" s="5"/>
    </row>
    <row r="6" spans="1:6" ht="18" thickBot="1" x14ac:dyDescent="0.3">
      <c r="A6" s="10"/>
      <c r="B6" s="10"/>
      <c r="C6" s="5"/>
      <c r="D6" s="6" t="s">
        <v>21</v>
      </c>
      <c r="E6" s="9"/>
      <c r="F6" s="5"/>
    </row>
    <row r="7" spans="1:6" ht="15.75" thickBot="1" x14ac:dyDescent="0.3">
      <c r="A7" s="10"/>
      <c r="B7" s="10"/>
      <c r="C7" s="5"/>
      <c r="D7" s="5"/>
      <c r="E7" s="5"/>
      <c r="F7" s="5"/>
    </row>
    <row r="8" spans="1:6" ht="18" thickBot="1" x14ac:dyDescent="0.3">
      <c r="A8" s="10"/>
      <c r="B8" s="10"/>
      <c r="C8" s="5"/>
      <c r="D8" s="6" t="s">
        <v>22</v>
      </c>
      <c r="E8" s="8"/>
      <c r="F8" s="5"/>
    </row>
    <row r="9" spans="1:6" ht="15.75" thickBot="1" x14ac:dyDescent="0.3">
      <c r="A9" s="10"/>
      <c r="B9" s="10"/>
      <c r="C9" s="5"/>
      <c r="D9" s="5"/>
      <c r="E9" s="5"/>
      <c r="F9" s="5"/>
    </row>
    <row r="10" spans="1:6" ht="18" thickBot="1" x14ac:dyDescent="0.3">
      <c r="A10" s="10"/>
      <c r="B10" s="10"/>
      <c r="C10" s="5"/>
      <c r="D10" s="6" t="s">
        <v>23</v>
      </c>
      <c r="E10" s="13"/>
      <c r="F10" s="5"/>
    </row>
    <row r="11" spans="1:6" ht="15.75" thickBot="1" x14ac:dyDescent="0.3">
      <c r="A11" s="10"/>
      <c r="B11" s="10"/>
      <c r="C11" s="5"/>
      <c r="D11" s="5"/>
      <c r="E11" s="5"/>
      <c r="F11" s="5"/>
    </row>
    <row r="12" spans="1:6" ht="18" thickBot="1" x14ac:dyDescent="0.3">
      <c r="A12" s="10"/>
      <c r="B12" s="10"/>
      <c r="C12" s="5"/>
      <c r="D12" s="6" t="s">
        <v>24</v>
      </c>
      <c r="E12" s="8"/>
      <c r="F12" s="5"/>
    </row>
    <row r="13" spans="1:6" ht="15.75" thickBot="1" x14ac:dyDescent="0.3">
      <c r="A13" s="35"/>
      <c r="B13" s="10"/>
      <c r="C13" s="5"/>
      <c r="D13" s="5"/>
      <c r="E13" s="5"/>
      <c r="F13" s="5"/>
    </row>
    <row r="14" spans="1:6" ht="18" thickBot="1" x14ac:dyDescent="0.3">
      <c r="A14" s="10"/>
      <c r="B14" s="10"/>
      <c r="C14" s="5"/>
      <c r="D14" s="6" t="s">
        <v>25</v>
      </c>
      <c r="E14" s="11"/>
      <c r="F14" s="5"/>
    </row>
    <row r="15" spans="1:6" ht="15.75" thickBot="1" x14ac:dyDescent="0.3">
      <c r="A15" s="10"/>
      <c r="B15" s="35"/>
      <c r="C15" s="5"/>
      <c r="D15" s="5"/>
      <c r="E15" s="5"/>
      <c r="F15" s="5"/>
    </row>
    <row r="16" spans="1:6" ht="18" thickBot="1" x14ac:dyDescent="0.3">
      <c r="A16" s="10"/>
      <c r="B16" s="10"/>
      <c r="C16" s="5"/>
      <c r="D16" s="6" t="s">
        <v>20</v>
      </c>
      <c r="E16" s="12">
        <f>IF(EXACT(E12,"Simple"),E14*300,IF(EXACT(E12,"Double"),E14*500,E14*1200))</f>
        <v>0</v>
      </c>
      <c r="F16" s="5"/>
    </row>
    <row r="17" spans="1:6" ht="15.75" thickBot="1" x14ac:dyDescent="0.3">
      <c r="A17" s="35"/>
      <c r="B17" s="10"/>
      <c r="C17" s="5"/>
      <c r="D17" s="5"/>
      <c r="E17" s="5"/>
      <c r="F17" s="5"/>
    </row>
    <row r="18" spans="1:6" ht="18" thickBot="1" x14ac:dyDescent="0.3">
      <c r="A18" s="10"/>
      <c r="B18" s="10"/>
      <c r="C18" s="5"/>
      <c r="D18" s="6" t="s">
        <v>26</v>
      </c>
      <c r="E18" s="7"/>
      <c r="F18" s="5"/>
    </row>
    <row r="19" spans="1:6" x14ac:dyDescent="0.25">
      <c r="A19" s="10"/>
      <c r="B19" s="10"/>
      <c r="C19" s="5"/>
      <c r="D19" s="5"/>
      <c r="E19" s="5"/>
      <c r="F19" s="5"/>
    </row>
    <row r="20" spans="1:6" x14ac:dyDescent="0.25">
      <c r="A20" s="10"/>
      <c r="B20" s="10"/>
      <c r="C20" s="5"/>
      <c r="D20" s="5"/>
      <c r="E20" s="5"/>
      <c r="F20" s="5"/>
    </row>
    <row r="21" spans="1:6" x14ac:dyDescent="0.25">
      <c r="A21" s="10"/>
      <c r="B21" s="10"/>
      <c r="C21" s="5"/>
      <c r="D21" s="5"/>
      <c r="E21" s="5"/>
      <c r="F21" s="5"/>
    </row>
    <row r="22" spans="1:6" x14ac:dyDescent="0.25">
      <c r="A22" s="10"/>
      <c r="B22" s="10"/>
      <c r="C22" s="5"/>
      <c r="D22" s="5"/>
      <c r="E22" s="5"/>
      <c r="F22" s="5"/>
    </row>
  </sheetData>
  <mergeCells count="2">
    <mergeCell ref="A1:B1"/>
    <mergeCell ref="C1:F1"/>
  </mergeCells>
  <dataValidations count="8">
    <dataValidation type="custom" allowBlank="1" showInputMessage="1" showErrorMessage="1" error="Le format doit être une lettre majuscule suivie de 4 chiffres (ex. R1283)" sqref="E27" xr:uid="{A7A30A9B-B7B4-4245-BF91-D6BF2554C292}">
      <formula1>AND(ISNUMBER(LEFT(E6,1)*1)=FALSE,LEN(E6)=5,ISNUMBER(RIGHT(E6,4)*1))</formula1>
    </dataValidation>
    <dataValidation type="custom" allowBlank="1" showInputMessage="1" showErrorMessage="1" errorTitle="Erreur " error=" Le format doit être une lettre majuscule suivie de 4 chiffres (ex. R1283)" sqref="E6" xr:uid="{345A927E-9765-434B-95B3-493B706585F7}">
      <formula1>AND(ISNUMBER(LEFT(E6,1)*1)=FALSE,LEN(E6)=5,ISNUMBER(RIGHT(E6,4)*1))</formula1>
    </dataValidation>
    <dataValidation type="textLength" operator="lessThan" allowBlank="1" showInputMessage="1" showErrorMessage="1" errorTitle="Attension" error="Maximum 30 caractères." sqref="E8" xr:uid="{FA53B210-C458-4AFC-965B-C8639DC593CF}">
      <formula1>30</formula1>
    </dataValidation>
    <dataValidation type="date" operator="greaterThanOrEqual" allowBlank="1" showInputMessage="1" showErrorMessage="1" errorTitle="Erreur " error="La date d'arrivée ne peut pas être antérieure à la date du jour" sqref="E10" xr:uid="{7ED6D0A5-8826-4F12-888E-DC864BE7D80B}">
      <formula1>TODAY()</formula1>
    </dataValidation>
    <dataValidation type="list" allowBlank="1" showInputMessage="1" showErrorMessage="1" sqref="E12" xr:uid="{CA733B25-BCF0-45CE-8915-4A185CE1B000}">
      <formula1>"Simple,Double,Suite"</formula1>
    </dataValidation>
    <dataValidation type="whole" operator="greaterThanOrEqual" allowBlank="1" showInputMessage="1" showErrorMessage="1" sqref="E14" xr:uid="{E5AAA235-94F4-42CC-B909-0D5F597E99A7}">
      <formula1>1</formula1>
    </dataValidation>
    <dataValidation type="custom" allowBlank="1" showInputMessage="1" showErrorMessage="1" errorTitle="Erreur" error=" Le montant total doit être calculé automatiquement. Veuillez vérifier le type de chambre et le nombre de nuits." sqref="E16" xr:uid="{50DC91E3-508D-4D7A-873C-5BC89971304B}">
      <formula1>IF(EXACT(E12,"Simple"),E14*300,IF(EXACT(E12,"Double"),E14*500,E14*1200))</formula1>
    </dataValidation>
    <dataValidation type="list" allowBlank="1" showInputMessage="1" showErrorMessage="1" sqref="E18" xr:uid="{8B1C8509-1505-408B-9E4D-30FA64ACC866}">
      <formula1>"Confirmée,En attente,Annuléé"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jou_finale">
                <anchor moveWithCells="1" sizeWithCells="1">
                  <from>
                    <xdr:col>5</xdr:col>
                    <xdr:colOff>123825</xdr:colOff>
                    <xdr:row>19</xdr:row>
                    <xdr:rowOff>57150</xdr:rowOff>
                  </from>
                  <to>
                    <xdr:col>5</xdr:col>
                    <xdr:colOff>1095375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ffacer">
                <anchor moveWithCells="1" sizeWithCells="1">
                  <from>
                    <xdr:col>4</xdr:col>
                    <xdr:colOff>57150</xdr:colOff>
                    <xdr:row>19</xdr:row>
                    <xdr:rowOff>66675</xdr:rowOff>
                  </from>
                  <to>
                    <xdr:col>5</xdr:col>
                    <xdr:colOff>0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80C4-4AB4-455D-ACFF-28F25420C0C2}">
  <sheetPr codeName="Feuil4"/>
  <dimension ref="A1:L24"/>
  <sheetViews>
    <sheetView showGridLines="0" tabSelected="1" workbookViewId="0">
      <selection activeCell="F29" sqref="F29"/>
    </sheetView>
  </sheetViews>
  <sheetFormatPr baseColWidth="10" defaultRowHeight="15" x14ac:dyDescent="0.25"/>
  <cols>
    <col min="6" max="6" width="31.5703125" bestFit="1" customWidth="1"/>
  </cols>
  <sheetData>
    <row r="1" spans="1:12" ht="18.75" customHeight="1" x14ac:dyDescent="0.25">
      <c r="A1" s="36"/>
      <c r="B1" s="36"/>
      <c r="C1" s="36"/>
      <c r="D1" s="36"/>
      <c r="E1" s="36"/>
      <c r="F1" s="25"/>
      <c r="G1" s="52" t="s">
        <v>47</v>
      </c>
      <c r="H1" s="52"/>
      <c r="I1" s="52"/>
      <c r="J1" s="52"/>
      <c r="K1" s="52"/>
      <c r="L1" s="52"/>
    </row>
    <row r="2" spans="1:12" ht="20.25" x14ac:dyDescent="0.3">
      <c r="A2" s="51" t="s">
        <v>44</v>
      </c>
      <c r="B2" s="51"/>
      <c r="C2" s="36"/>
      <c r="D2" s="36"/>
      <c r="E2" s="36"/>
      <c r="F2" s="25"/>
      <c r="G2" s="52"/>
      <c r="H2" s="52"/>
      <c r="I2" s="52"/>
      <c r="J2" s="52"/>
      <c r="K2" s="52"/>
      <c r="L2" s="52"/>
    </row>
    <row r="3" spans="1:12" x14ac:dyDescent="0.25">
      <c r="A3" s="36"/>
      <c r="B3" s="36"/>
      <c r="C3" s="36"/>
      <c r="D3" s="36"/>
      <c r="E3" s="36"/>
      <c r="F3" s="25"/>
    </row>
    <row r="21" spans="6:8" x14ac:dyDescent="0.25">
      <c r="F21" s="30"/>
      <c r="G21" s="30"/>
      <c r="H21" s="30"/>
    </row>
    <row r="22" spans="6:8" x14ac:dyDescent="0.25">
      <c r="F22" s="49" t="s">
        <v>48</v>
      </c>
      <c r="G22" s="30"/>
      <c r="H22" s="30"/>
    </row>
    <row r="23" spans="6:8" x14ac:dyDescent="0.25">
      <c r="F23" s="50"/>
      <c r="G23" s="30"/>
      <c r="H23" s="30"/>
    </row>
    <row r="24" spans="6:8" x14ac:dyDescent="0.25">
      <c r="F24" s="30"/>
      <c r="G24" s="30"/>
      <c r="H24" s="30"/>
    </row>
  </sheetData>
  <mergeCells count="3">
    <mergeCell ref="F22:F23"/>
    <mergeCell ref="A2:B2"/>
    <mergeCell ref="G1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ctualiserGraphiques">
                <anchor moveWithCells="1" sizeWithCells="1">
                  <from>
                    <xdr:col>6</xdr:col>
                    <xdr:colOff>161925</xdr:colOff>
                    <xdr:row>21</xdr:row>
                    <xdr:rowOff>19050</xdr:rowOff>
                  </from>
                  <to>
                    <xdr:col>7</xdr:col>
                    <xdr:colOff>476250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Feuil3</vt:lpstr>
      <vt:lpstr>Page d'accueil</vt:lpstr>
      <vt:lpstr>Base</vt:lpstr>
      <vt:lpstr>Formule</vt:lpstr>
      <vt:lpstr>Graphiques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Anass MB</dc:creator>
  <cp:lastModifiedBy>ahmed hamdi</cp:lastModifiedBy>
  <dcterms:created xsi:type="dcterms:W3CDTF">2015-06-05T18:19:34Z</dcterms:created>
  <dcterms:modified xsi:type="dcterms:W3CDTF">2025-02-13T15:36:19Z</dcterms:modified>
</cp:coreProperties>
</file>